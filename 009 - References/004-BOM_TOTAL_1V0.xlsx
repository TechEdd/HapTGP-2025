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urendeau-my.sharepoint.com/personal/yanick_heynemand_claurendeau_qc_ca/Documents/244-57X-AL StrucDocum_A25/Groupe01/PF-109-EP/HapTGP-2025/009 - References/"/>
    </mc:Choice>
  </mc:AlternateContent>
  <xr:revisionPtr revIDLastSave="35" documentId="8_{7F1B1DB4-4A5D-4F15-9EC2-326E83BE6F01}" xr6:coauthVersionLast="47" xr6:coauthVersionMax="47" xr10:uidLastSave="{9A56BE37-927F-45B4-8E8B-334A0BABB01D}"/>
  <bookViews>
    <workbookView xWindow="-120" yWindow="-120" windowWidth="20730" windowHeight="11160" xr2:uid="{5E89EF3B-981F-40AE-B337-2909B44E1F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25" i="1"/>
  <c r="I21" i="1"/>
  <c r="I22" i="1"/>
  <c r="I23" i="1"/>
  <c r="I24" i="1"/>
  <c r="I20" i="1"/>
  <c r="I19" i="1"/>
  <c r="I7" i="1"/>
  <c r="I14" i="1"/>
  <c r="I16" i="1"/>
  <c r="I17" i="1"/>
  <c r="I18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13" i="1"/>
  <c r="I12" i="1"/>
  <c r="I11" i="1"/>
  <c r="I10" i="1"/>
  <c r="I9" i="1"/>
  <c r="I8" i="1"/>
  <c r="I6" i="1"/>
  <c r="I43" i="1" l="1"/>
  <c r="I45" i="1" s="1"/>
  <c r="I44" i="1" l="1"/>
  <c r="I46" i="1" s="1"/>
</calcChain>
</file>

<file path=xl/sharedStrings.xml><?xml version="1.0" encoding="utf-8"?>
<sst xmlns="http://schemas.openxmlformats.org/spreadsheetml/2006/main" count="298" uniqueCount="213">
  <si>
    <t>Auteur :</t>
  </si>
  <si>
    <t>Date :</t>
  </si>
  <si>
    <t>Quantité</t>
  </si>
  <si>
    <t>RefDes</t>
  </si>
  <si>
    <t>Description</t>
  </si>
  <si>
    <t>Fabricant</t>
  </si>
  <si>
    <t>Numéro du fabricant</t>
  </si>
  <si>
    <t>Fournisseur</t>
  </si>
  <si>
    <t>Numéro du fournisseur</t>
  </si>
  <si>
    <t>Prix Unitaire en $ Can.</t>
  </si>
  <si>
    <t>Prix total en $ Can.</t>
  </si>
  <si>
    <t>Lien WEB</t>
  </si>
  <si>
    <t>RMCF1206FT10K0</t>
  </si>
  <si>
    <t>RMCF1206FT10K0CT-ND</t>
  </si>
  <si>
    <t>Total</t>
  </si>
  <si>
    <t>TPS</t>
  </si>
  <si>
    <t>TVQ</t>
  </si>
  <si>
    <t>Grand total</t>
  </si>
  <si>
    <t/>
  </si>
  <si>
    <t>Liste de pièces du HapTGP WaterDrop 1.0 (version 1V0)</t>
  </si>
  <si>
    <t>Eddie Pelletier</t>
  </si>
  <si>
    <t>MEC4</t>
  </si>
  <si>
    <t>D3</t>
  </si>
  <si>
    <t>D2</t>
  </si>
  <si>
    <t>MEC1</t>
  </si>
  <si>
    <t>U2</t>
  </si>
  <si>
    <t>Q1,Q2</t>
  </si>
  <si>
    <t>C1</t>
  </si>
  <si>
    <t>SPK1</t>
  </si>
  <si>
    <t>C2,C3</t>
  </si>
  <si>
    <t>MEC23,MEC24,MEC25,MEC26</t>
  </si>
  <si>
    <t>U5</t>
  </si>
  <si>
    <t>U4</t>
  </si>
  <si>
    <t>M1</t>
  </si>
  <si>
    <t>MEC21,MEC22</t>
  </si>
  <si>
    <t>MEC13,MEC14</t>
  </si>
  <si>
    <t>MEC5,MEC6,MEC7,MEC8</t>
  </si>
  <si>
    <t>MEC19,MEC20</t>
  </si>
  <si>
    <t>MEC15,MEC16,MEC17,MEC18</t>
  </si>
  <si>
    <t>MEC9,MEC10,MEC11,MEC12</t>
  </si>
  <si>
    <t>MEC2,MEC3</t>
  </si>
  <si>
    <t>U6</t>
  </si>
  <si>
    <t>R3</t>
  </si>
  <si>
    <t>R8</t>
  </si>
  <si>
    <t>R1,R6</t>
  </si>
  <si>
    <t>R4,R5</t>
  </si>
  <si>
    <t>R7</t>
  </si>
  <si>
    <t>U1</t>
  </si>
  <si>
    <t>D1</t>
  </si>
  <si>
    <t>J15</t>
  </si>
  <si>
    <t>J3,J4,J6,J7,J8</t>
  </si>
  <si>
    <t>J2</t>
  </si>
  <si>
    <t>J12,J13</t>
  </si>
  <si>
    <t>J9</t>
  </si>
  <si>
    <t>J10,J11</t>
  </si>
  <si>
    <t>J5</t>
  </si>
  <si>
    <t>J14</t>
  </si>
  <si>
    <t>U7</t>
  </si>
  <si>
    <t>1.28 inch TFT Screen Display Module 1.28\" IPS Round Colorful LCD Board GC9A01 Touch 240x240 SPI</t>
  </si>
  <si>
    <t>12 Bit WS2812 Neopixel Ring</t>
  </si>
  <si>
    <t>Diode Array 1 Pair Common Cathode 30 V 200mA (DC) Surface Mount TO-236-3, SC-59, SOT-23-3</t>
  </si>
  <si>
    <t>6002-2RS 15x32x9mm Precision Chrome Steel Bearings Double Rubber Sealed Seal Bearings 10Pcs for RC Car / UAV / Bicycles</t>
  </si>
  <si>
    <t>Humidity, Pressure, Temperature 0 ~ 100% RH I2C, SPI ±3% 1 s Surface Mount</t>
  </si>
  <si>
    <t>N-Channel 50 V 170mA 350mW (Ta) Surface Mount SOT-23-3</t>
  </si>
  <si>
    <t>0.1 µF ±20% 50V Ceramic Capacitor X7R 1206 (3216 Metric)</t>
  </si>
  <si>
    <t>10 µF ±20% 16V Ceramic Capacitor X7R 1206 (3216 Metric)</t>
  </si>
  <si>
    <t>Round 12.7mm Cabinet Bumpers Soft Self-Adhesive Clear Rubber Bumper</t>
  </si>
  <si>
    <t>Adafruit DRV2605L Haptic Motor Controller</t>
  </si>
  <si>
    <t>Real Time Clock (RTC) IC Clock/Calendar I2C, 2-Wire Serial</t>
  </si>
  <si>
    <t>DC Motor Vibration, ERM (Haptic) 3VDC</t>
  </si>
  <si>
    <t>M2 Heat Set Insert for 3D Printing Components and Plastic Parts - Brass Metric Knurled Nuts</t>
  </si>
  <si>
    <t>M2 Stainless steel iron plating round head, Phillips screw bolt length 5mm</t>
  </si>
  <si>
    <t>M2 Stainless steel iron plating round head, Phillips screw bolt length 6mm</t>
  </si>
  <si>
    <t>Stainless steel iron Hex Hexagon Nut for M2 Srew Bolt</t>
  </si>
  <si>
    <t>M2.5 Stainless steel iron plating round head, Phillips screw bolt length 5mm</t>
  </si>
  <si>
    <t>M3x20mm Flat Head Machine Screws</t>
  </si>
  <si>
    <t>Hall Based Angle Position Encoder Sensor</t>
  </si>
  <si>
    <t>100 Ohms ±1% 0.25W, 1/4W Chip Resistor 1206 (3216 Metric) Automotive AEC-Q200 Thick Film</t>
  </si>
  <si>
    <t>3.32 kOhms ±1% 0.25W, 1/4W Chip Resistor 1206 (3216 Metric) Automotive AEC-Q200 Thick Film</t>
  </si>
  <si>
    <t>10 kOhms ±1% 0.25W, 1/4W Chip Resistor 1206 (3216 Metric) Automotive AEC-Q200 Thick Film</t>
  </si>
  <si>
    <t>1 kOhms ±1% 0.5W, 1/2W Chip Resistor 1206 (3216 Metric) Anti-Sulfur Thin Film</t>
  </si>
  <si>
    <t>22.1 Ohms ±1% 0.5W, 1/2W Chip Resistor 1206 (3216 Metric) Anti-Sulfur Thin Film</t>
  </si>
  <si>
    <t>10.3V Clamp 38.8A Ipp Tvs Diode Surface Mount DO-214AC (SMA)</t>
  </si>
  <si>
    <t>40 Position Receptacle, Pass Through Connector 0.100\" (2.54mm) Surface Mount Gold</t>
  </si>
  <si>
    <t>Connector Header Through Hole 1 position</t>
  </si>
  <si>
    <t>Connector Header Through Hole 4 position 0.100\" (2.54mm)</t>
  </si>
  <si>
    <t>Connector Header Through Hole 5 position 0.100\" (2.54mm)</t>
  </si>
  <si>
    <t>Connector Header Through Hole, Right Angle 5 position 0.100\" (2.54mm)</t>
  </si>
  <si>
    <t>Connector Header Through Hole 6 position 0.100\" (2.54mm)</t>
  </si>
  <si>
    <t>Connector Header Through Hole 8 position 0.100\" (2.54mm)</t>
  </si>
  <si>
    <t>Connector Header Through Hole 40 position 0.100\" (2.54mm)</t>
  </si>
  <si>
    <t>Optical Sensor Ambient I2C 4-SMD, J-Lead - Top View</t>
  </si>
  <si>
    <t xml:space="preserve">Speaker Electromagnetic </t>
  </si>
  <si>
    <t>10x3mm tiny round disc small</t>
  </si>
  <si>
    <t xml:space="preserve">Raspberry Pi Zero 2 W SC1176 </t>
  </si>
  <si>
    <t>Your Cee</t>
  </si>
  <si>
    <t>WAVGAT Official Store</t>
  </si>
  <si>
    <t>onsemi</t>
  </si>
  <si>
    <t>Bearing World Store</t>
  </si>
  <si>
    <t>Simple Robot Store</t>
  </si>
  <si>
    <t>OnSemi</t>
  </si>
  <si>
    <t>KEMET</t>
  </si>
  <si>
    <t>CUI</t>
  </si>
  <si>
    <t>Samsung Electro-Mechanics</t>
  </si>
  <si>
    <t>Furnigear</t>
  </si>
  <si>
    <t>Seeed Technology Co., Ltd</t>
  </si>
  <si>
    <t>Hanglife</t>
  </si>
  <si>
    <t>Darzoom Store</t>
  </si>
  <si>
    <t>UXCELL</t>
  </si>
  <si>
    <t>Magical Magnet Life Store</t>
  </si>
  <si>
    <t>Red Yellow Store</t>
  </si>
  <si>
    <t>Stackpole Electronics Inc</t>
  </si>
  <si>
    <t>Raspberry Pi</t>
  </si>
  <si>
    <t>Littelfuse Inc.</t>
  </si>
  <si>
    <t>Samtec</t>
  </si>
  <si>
    <t>Vishay</t>
  </si>
  <si>
    <t>Color: Module With Touch</t>
  </si>
  <si>
    <t>Color: 12 Bit</t>
  </si>
  <si>
    <t>BAT54CLT3GOSCT-ND</t>
  </si>
  <si>
    <t>6002-2RS</t>
  </si>
  <si>
    <t>GY-BME280-3.3V</t>
  </si>
  <si>
    <t>BSS138CT-ND</t>
  </si>
  <si>
    <t>399-C1206C104M5RACTUCT-ND</t>
  </si>
  <si>
    <t>102-1153-ND</t>
  </si>
  <si>
    <t>1276-6641-1-ND</t>
  </si>
  <si>
    <t>Size: Cylindrical 96pcs</t>
  </si>
  <si>
    <t>Color: Driving module</t>
  </si>
  <si>
    <t>DS3231</t>
  </si>
  <si>
    <t>1597-1244-ND</t>
  </si>
  <si>
    <t>Colour Name: M2 X D3 X L3(100pcs)</t>
  </si>
  <si>
    <t>Size: M2, Length: 5mm</t>
  </si>
  <si>
    <t>Size: M2, Length: 6mm</t>
  </si>
  <si>
    <t>Size: M2 ( 50 pcs)</t>
  </si>
  <si>
    <t>Size: M2.5, Length: 5mm</t>
  </si>
  <si>
    <t>M3x20mm</t>
  </si>
  <si>
    <t>Color: 10x3mm-10PCS</t>
  </si>
  <si>
    <t>SOP8-IIC Default</t>
  </si>
  <si>
    <t>RMCF1206FG100RCT-ND</t>
  </si>
  <si>
    <t>RNCP1206FTD1K00CT-ND</t>
  </si>
  <si>
    <t>RNCP1206FTD22R1CT-ND</t>
  </si>
  <si>
    <t>2648-SC1176-ND</t>
  </si>
  <si>
    <t>SMAJ6.0ALFCT-ND</t>
  </si>
  <si>
    <t>SAM1146-20-ND</t>
  </si>
  <si>
    <t>SAM1029-01-ND</t>
  </si>
  <si>
    <t>SAM1029-04-ND</t>
  </si>
  <si>
    <t>SAM1029-05-ND</t>
  </si>
  <si>
    <t>SAM1039-05-ND</t>
  </si>
  <si>
    <t>SAM1029-06-ND</t>
  </si>
  <si>
    <t>SAM1029-08-ND</t>
  </si>
  <si>
    <t>SAM1028-20-ND</t>
  </si>
  <si>
    <t>751-VEML7700-TTCT-ND</t>
  </si>
  <si>
    <t>BAT54CLT3G</t>
  </si>
  <si>
    <t>BSS138</t>
  </si>
  <si>
    <t>C1206C104M5RAC7800</t>
  </si>
  <si>
    <t>CEM-1203(42)</t>
  </si>
  <si>
    <t>CL31B106MOHNNNE</t>
  </si>
  <si>
    <t>316040001</t>
  </si>
  <si>
    <t>RMCF1206FG100R</t>
  </si>
  <si>
    <t>RMCF1206FT3K32</t>
  </si>
  <si>
    <t>RNCP1206FTD1K00</t>
  </si>
  <si>
    <t>RNCP1206FTD22R1</t>
  </si>
  <si>
    <t>SC1176</t>
  </si>
  <si>
    <t>SMAJ6.0A</t>
  </si>
  <si>
    <t>SSM-120-L-DV</t>
  </si>
  <si>
    <t>TSW-101-07-G-S</t>
  </si>
  <si>
    <t>TSW-104-07-G-S</t>
  </si>
  <si>
    <t>TSW-105-07-G-S</t>
  </si>
  <si>
    <t>TSW-105-08-G-S-RA</t>
  </si>
  <si>
    <t>TSW-106-07-G-S</t>
  </si>
  <si>
    <t>TSW-108-07-G-S</t>
  </si>
  <si>
    <t>TSW-120-07-G-D</t>
  </si>
  <si>
    <t>VEML7700-TT</t>
  </si>
  <si>
    <t>https://aliexpi.com/IKIM</t>
  </si>
  <si>
    <t>https://www.aliexpress.com/item/32758176722.html?spm=a2g0o.order_list.order_list_main.9.3dfb1802yhWrDt</t>
  </si>
  <si>
    <t>https://www.digikey.ca/en/products/detail/onsemi/BAT54CLT3G/1792157?s=N4IgTCBcDaIEIEEAqBWALAYQDJIMwHEB5AZQyQFoA5AERAF0BfIA</t>
  </si>
  <si>
    <t>https://www.aliexpress.com/item/1005002963592665.html?spm=a2g0o.order_list.order_list_main.4.32a61802cuksvp</t>
  </si>
  <si>
    <t>https://www.digikey.ca/en/products/detail/onsemi/BSS138/244210</t>
  </si>
  <si>
    <t>https://www.digikey.ca/en/products/detail/kemet/C1206C104M5RAC7800/411247</t>
  </si>
  <si>
    <t>https://www.digikey.ca/en/products/detail/same-sky-formerly-cui-devices/CEM-1203-42/412412</t>
  </si>
  <si>
    <t>https://www.digikey.ca/en/products/detail/samsung-electro-mechanics/CL31B106MOHNNNE/5961125?s=N4IgTCBcDaIMIBkDMBGAQigDANgLIHkAJAOVIFEQBdAXyA</t>
  </si>
  <si>
    <t>https://www.amazon.ca/dp/B0BZBXY984?ref=ppx_yo2ov_dt_b_product_details&amp;th=1</t>
  </si>
  <si>
    <t>https://www.aliexpress.com/item/1005006900947978.html?spm=a2g0o.order_list.order_list_main.14.679a1802Tgud2h</t>
  </si>
  <si>
    <t>https://www.aliexpress.com/item/1812869576.html?spm=a2g0o.order_list.order_list_main.152.32a61802cuksvp</t>
  </si>
  <si>
    <t>https://www.digikey.ca/en/products/detail/seeed-technology-co-ltd/316040001/5487672?s=N4IgTCBcDaIIwFYCcB2AtHMAWLaByAIiALoC%2BQA</t>
  </si>
  <si>
    <t>https://www.amazon.ca/-/fr/HANGLIFE-thermodurcissables-composants-dimpression-plastique/dp/B0CS6XJSSL/?th=1</t>
  </si>
  <si>
    <t>https://aliexpi.com/Fjtn</t>
  </si>
  <si>
    <t>https://aliexpi.com/RNjy</t>
  </si>
  <si>
    <t>https://aliexpi.com/RLok</t>
  </si>
  <si>
    <t>https://www.amazon.ca/dp/B07VK3Y6WK?ref=ppx_yo2ov_dt_b_fed_asin_title&amp;th=1</t>
  </si>
  <si>
    <t>https://aliexpi.com/sLDT</t>
  </si>
  <si>
    <t>https://www.digikey.ca/en/products/detail/stackpole-electronics-inc/RMCF1206FG100R/1759135?s=N4IgTCBcDaIEoFkDCAxAjGADANhQcTU0zhAF0BfIA</t>
  </si>
  <si>
    <t>https://www.digikey.ca/en/products/detail/stackpole-electronics-inc/RMCF1206FT3K32/1753915</t>
  </si>
  <si>
    <t>https://www.digikey.ca/en/products/detail/stackpole-electronics-inc/RMCF1206FT10K0/1759669?s=N4IgTCBcDaIEoFkDCAxAjGADANhQFTUwGlMQBdAXyA</t>
  </si>
  <si>
    <t>https://www.digikey.ca/en/products/detail/stackpole-electronics-inc/RNCP1206FTD1K00/2240337</t>
  </si>
  <si>
    <t>https://www.digikey.ca/en/products/detail/stackpole-electronics-inc/RNCP1206FTD22R1/2240307</t>
  </si>
  <si>
    <t>https://www.digikey.ca/en/products/detail/raspberry-pi/SC1176/15298147</t>
  </si>
  <si>
    <t>https://www.digikey.ca/en/products/detail/littelfuse-inc/SMAJ6-0A/762252</t>
  </si>
  <si>
    <t>https://www.digikey.ca/en/products/detail/samtec-inc/SSM-120-L-DV/1106211</t>
  </si>
  <si>
    <t>https://www.digikey.ca/en/products/detail/samtec-inc/TSW-101-07-G-S/1101326</t>
  </si>
  <si>
    <t>https://www.digikey.ca/en/products/detail/samtec-inc/TSW-104-07-G-S/1101323</t>
  </si>
  <si>
    <t>https://www.digikey.ca/en/products/detail/samtec-inc/TSW-105-07-G-S/1101322</t>
  </si>
  <si>
    <t>https://www.digikey.ca/en/products/detail/samtec-inc/TSW-105-08-G-S-RA/1101819</t>
  </si>
  <si>
    <t>https://www.digikey.ca/en/products/detail/samtec-inc/TSW-106-07-G-S/1101321</t>
  </si>
  <si>
    <t>https://www.digikey.ca/en/products/detail/samtec-inc/TSW-108-07-G-S/1101319</t>
  </si>
  <si>
    <t>https://www.digikey.ca/en/products/detail/samtec-inc/TSW-120-07-G-D/1101257</t>
  </si>
  <si>
    <t>https://www.digikey.ca/en/products/detail/vishay-semiconductor-opto-division/VEML7700-TT/6210690</t>
  </si>
  <si>
    <t>https://aliexpi.com/jNbk</t>
  </si>
  <si>
    <t>https://aliexpi.com/Dnqi</t>
  </si>
  <si>
    <t>En rabais</t>
  </si>
  <si>
    <t>prix unitaire (vient en lot de 100)</t>
  </si>
  <si>
    <t>prix unitaire (vient en lot de 50)</t>
  </si>
  <si>
    <t>prix unitaire (vient en lot de 10)</t>
  </si>
  <si>
    <t>prix unitaire (vient en lot de 96)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</si>
</sst>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44" fontId="4" fillId="0" borderId="0" xfId="1" applyFont="1" applyAlignment="1">
      <alignment horizontal="center" vertical="top" wrapText="1"/>
    </xf>
    <xf numFmtId="0" fontId="0" fillId="0" borderId="0" xfId="0" applyAlignment="1">
      <alignment horizontal="right" vertical="top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44" fontId="0" fillId="0" borderId="0" xfId="1" applyFont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44" fontId="2" fillId="2" borderId="1" xfId="1" applyFont="1" applyFill="1" applyBorder="1" applyAlignment="1">
      <alignment horizontal="center" vertical="top" wrapText="1"/>
    </xf>
    <xf numFmtId="44" fontId="0" fillId="0" borderId="1" xfId="1" quotePrefix="1" applyFont="1" applyFill="1" applyBorder="1" applyAlignment="1">
      <alignment horizontal="center" vertical="top" wrapText="1"/>
    </xf>
    <xf numFmtId="44" fontId="0" fillId="0" borderId="1" xfId="1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quotePrefix="1" applyAlignment="1">
      <alignment vertical="top" wrapText="1"/>
    </xf>
    <xf numFmtId="0" fontId="6" fillId="0" borderId="0" xfId="0" applyFont="1"/>
    <xf numFmtId="44" fontId="0" fillId="0" borderId="0" xfId="1" applyFont="1" applyFill="1" applyBorder="1" applyAlignment="1">
      <alignment horizontal="center" vertical="top" wrapText="1"/>
    </xf>
    <xf numFmtId="44" fontId="0" fillId="0" borderId="1" xfId="1" applyFont="1" applyBorder="1" applyAlignment="1">
      <alignment horizontal="center" vertical="top" wrapText="1"/>
    </xf>
    <xf numFmtId="44" fontId="0" fillId="0" borderId="0" xfId="1" applyFont="1" applyBorder="1" applyAlignment="1">
      <alignment horizontal="center" vertical="top" wrapText="1"/>
    </xf>
    <xf numFmtId="0" fontId="0" fillId="0" borderId="0" xfId="0" quotePrefix="1"/>
    <xf numFmtId="44" fontId="0" fillId="0" borderId="0" xfId="1" quotePrefix="1" applyFont="1" applyAlignment="1">
      <alignment horizontal="center"/>
    </xf>
    <xf numFmtId="0" fontId="0" fillId="0" borderId="0" xfId="0" applyAlignment="1">
      <alignment wrapText="1"/>
    </xf>
    <xf numFmtId="44" fontId="0" fillId="3" borderId="1" xfId="1" applyFont="1" applyFill="1" applyBorder="1" applyAlignment="1">
      <alignment horizontal="center" vertical="top" wrapText="1"/>
    </xf>
    <xf numFmtId="0" fontId="3" fillId="0" borderId="0" xfId="2" applyAlignment="1">
      <alignment wrapText="1"/>
    </xf>
    <xf numFmtId="44" fontId="7" fillId="3" borderId="1" xfId="1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liexpi.com/jNbk" TargetMode="External"/><Relationship Id="rId18" Type="http://schemas.openxmlformats.org/officeDocument/2006/relationships/hyperlink" Target="https://www.digikey.ca/en/products/detail/seeed-technology-co-ltd/316040001/5487672?s=N4IgTCBcDaIIwFYCcB2AtHMAWLaByAIiALoC%2BQA" TargetMode="External"/><Relationship Id="rId26" Type="http://schemas.openxmlformats.org/officeDocument/2006/relationships/hyperlink" Target="https://www.digikey.ca/en/products/detail/samtec-inc/SSM-120-L-DV/1106211" TargetMode="External"/><Relationship Id="rId3" Type="http://schemas.openxmlformats.org/officeDocument/2006/relationships/hyperlink" Target="https://aliexpi.com/Fjtn" TargetMode="External"/><Relationship Id="rId21" Type="http://schemas.openxmlformats.org/officeDocument/2006/relationships/hyperlink" Target="https://www.digikey.ca/en/products/detail/stackpole-electronics-inc/RMCF1206FT10K0/1759669?s=N4IgTCBcDaIEoFkDCAxAjGADANhQFTUwGlMQBdAXyA" TargetMode="External"/><Relationship Id="rId34" Type="http://schemas.openxmlformats.org/officeDocument/2006/relationships/hyperlink" Target="https://www.digikey.ca/en/products/detail/vishay-semiconductor-opto-division/VEML7700-TT/6210690" TargetMode="External"/><Relationship Id="rId7" Type="http://schemas.openxmlformats.org/officeDocument/2006/relationships/hyperlink" Target="https://www.amazon.ca/dp/B07VK3Y6WK?ref=ppx_yo2ov_dt_b_fed_asin_title&amp;th=1" TargetMode="External"/><Relationship Id="rId12" Type="http://schemas.openxmlformats.org/officeDocument/2006/relationships/hyperlink" Target="https://www.digikey.ca/en/products/detail/onsemi/BAT54CLT3G/1792157?s=N4IgTCBcDaIEIEEAqBWALAYQDJIMwHEB5AZQyQFoA5AERAF0BfIA" TargetMode="External"/><Relationship Id="rId17" Type="http://schemas.openxmlformats.org/officeDocument/2006/relationships/hyperlink" Target="https://www.digikey.ca/en/products/detail/same-sky-formerly-cui-devices/CEM-1203-42/412412" TargetMode="External"/><Relationship Id="rId25" Type="http://schemas.openxmlformats.org/officeDocument/2006/relationships/hyperlink" Target="https://www.digikey.ca/en/products/detail/littelfuse-inc/SMAJ6-0A/762252" TargetMode="External"/><Relationship Id="rId33" Type="http://schemas.openxmlformats.org/officeDocument/2006/relationships/hyperlink" Target="https://www.digikey.ca/en/products/detail/samtec-inc/TSW-120-07-G-D/1101257" TargetMode="External"/><Relationship Id="rId2" Type="http://schemas.openxmlformats.org/officeDocument/2006/relationships/hyperlink" Target="https://www.amazon.ca/-/fr/HANGLIFE-thermodurcissables-composants-dimpression-plastique/dp/B0CS6XJSSL/?th=1" TargetMode="External"/><Relationship Id="rId16" Type="http://schemas.openxmlformats.org/officeDocument/2006/relationships/hyperlink" Target="https://www.digikey.ca/en/products/detail/kemet/C1206C104M5RAC7800/411247" TargetMode="External"/><Relationship Id="rId20" Type="http://schemas.openxmlformats.org/officeDocument/2006/relationships/hyperlink" Target="https://www.digikey.ca/en/products/detail/stackpole-electronics-inc/RMCF1206FT3K32/1753915" TargetMode="External"/><Relationship Id="rId29" Type="http://schemas.openxmlformats.org/officeDocument/2006/relationships/hyperlink" Target="https://www.digikey.ca/en/products/detail/samtec-inc/TSW-105-07-G-S/1101322" TargetMode="External"/><Relationship Id="rId1" Type="http://schemas.openxmlformats.org/officeDocument/2006/relationships/hyperlink" Target="https://www.aliexpress.com/item/1812869576.html?spm=a2g0o.order_list.order_list_main.152.32a61802cuksvp" TargetMode="External"/><Relationship Id="rId6" Type="http://schemas.openxmlformats.org/officeDocument/2006/relationships/hyperlink" Target="https://aliexpi.com/Fjtn" TargetMode="External"/><Relationship Id="rId11" Type="http://schemas.openxmlformats.org/officeDocument/2006/relationships/hyperlink" Target="https://www.aliexpress.com/item/32758176722.html?spm=a2g0o.order_list.order_list_main.9.3dfb1802yhWrDt" TargetMode="External"/><Relationship Id="rId24" Type="http://schemas.openxmlformats.org/officeDocument/2006/relationships/hyperlink" Target="https://www.digikey.ca/en/products/detail/raspberry-pi/SC1176/15298147" TargetMode="External"/><Relationship Id="rId32" Type="http://schemas.openxmlformats.org/officeDocument/2006/relationships/hyperlink" Target="https://www.digikey.ca/en/products/detail/samtec-inc/TSW-108-07-G-S/1101319" TargetMode="External"/><Relationship Id="rId5" Type="http://schemas.openxmlformats.org/officeDocument/2006/relationships/hyperlink" Target="https://aliexpi.com/RLok" TargetMode="External"/><Relationship Id="rId15" Type="http://schemas.openxmlformats.org/officeDocument/2006/relationships/hyperlink" Target="https://www.digikey.ca/en/products/detail/onsemi/BSS138/244210" TargetMode="External"/><Relationship Id="rId23" Type="http://schemas.openxmlformats.org/officeDocument/2006/relationships/hyperlink" Target="https://www.digikey.ca/en/products/detail/stackpole-electronics-inc/RNCP1206FTD22R1/2240307" TargetMode="External"/><Relationship Id="rId28" Type="http://schemas.openxmlformats.org/officeDocument/2006/relationships/hyperlink" Target="https://www.digikey.ca/en/products/detail/samtec-inc/TSW-104-07-G-S/1101323" TargetMode="External"/><Relationship Id="rId10" Type="http://schemas.openxmlformats.org/officeDocument/2006/relationships/hyperlink" Target="https://aliexpi.com/IKIM" TargetMode="External"/><Relationship Id="rId19" Type="http://schemas.openxmlformats.org/officeDocument/2006/relationships/hyperlink" Target="https://www.digikey.ca/en/products/detail/stackpole-electronics-inc/RMCF1206FG100R/1759135?s=N4IgTCBcDaIEoFkDCAxAjGADANhQcTU0zhAF0BfIA" TargetMode="External"/><Relationship Id="rId31" Type="http://schemas.openxmlformats.org/officeDocument/2006/relationships/hyperlink" Target="https://www.digikey.ca/en/products/detail/samtec-inc/TSW-106-07-G-S/1101321" TargetMode="External"/><Relationship Id="rId4" Type="http://schemas.openxmlformats.org/officeDocument/2006/relationships/hyperlink" Target="https://aliexpi.com/RNjy" TargetMode="External"/><Relationship Id="rId9" Type="http://schemas.openxmlformats.org/officeDocument/2006/relationships/hyperlink" Target="https://aliexpi.com/Dnqi" TargetMode="External"/><Relationship Id="rId14" Type="http://schemas.openxmlformats.org/officeDocument/2006/relationships/hyperlink" Target="https://www.aliexpress.com/item/1005002963592665.html?spm=a2g0o.order_list.order_list_main.4.32a61802cuksvp" TargetMode="External"/><Relationship Id="rId22" Type="http://schemas.openxmlformats.org/officeDocument/2006/relationships/hyperlink" Target="https://www.digikey.ca/en/products/detail/stackpole-electronics-inc/RNCP1206FTD1K00/2240337" TargetMode="External"/><Relationship Id="rId27" Type="http://schemas.openxmlformats.org/officeDocument/2006/relationships/hyperlink" Target="https://www.digikey.ca/en/products/detail/samtec-inc/TSW-101-07-G-S/1101326" TargetMode="External"/><Relationship Id="rId30" Type="http://schemas.openxmlformats.org/officeDocument/2006/relationships/hyperlink" Target="https://www.digikey.ca/en/products/detail/samtec-inc/TSW-105-08-G-S-RA/1101819" TargetMode="External"/><Relationship Id="rId35" Type="http://schemas.openxmlformats.org/officeDocument/2006/relationships/hyperlink" Target="https://www.aliexpress.com/item/1005006900947978.html?spm=a2g0o.order_list.order_list_main.14.679a1802Tgud2h" TargetMode="External"/><Relationship Id="rId8" Type="http://schemas.openxmlformats.org/officeDocument/2006/relationships/hyperlink" Target="https://aliexpi.com/sLD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BE2E-5CAD-4345-862A-75BBF56E5EAE}">
  <dimension ref="A1:N56"/>
  <sheetViews>
    <sheetView tabSelected="1" topLeftCell="A35" zoomScale="70" zoomScaleNormal="70" workbookViewId="0">
      <selection activeCell="K15" sqref="K15"/>
    </sheetView>
  </sheetViews>
  <sheetFormatPr defaultColWidth="20.28515625" defaultRowHeight="15" x14ac:dyDescent="0.25"/>
  <cols>
    <col min="1" max="1" width="9.28515625" style="2" customWidth="1"/>
    <col min="2" max="2" width="20.28515625" style="2"/>
    <col min="3" max="3" width="49.140625" style="2" customWidth="1"/>
    <col min="4" max="4" width="20.28515625" style="2"/>
    <col min="5" max="5" width="27.7109375" style="2" customWidth="1"/>
    <col min="6" max="6" width="16.85546875" style="2" customWidth="1"/>
    <col min="7" max="7" width="36.42578125" style="2" customWidth="1"/>
    <col min="8" max="8" width="12.85546875" style="9" customWidth="1"/>
    <col min="9" max="9" width="14.28515625" style="9" customWidth="1"/>
    <col min="10" max="10" width="35.140625" style="9" customWidth="1"/>
    <col min="11" max="16384" width="20.28515625" style="2"/>
  </cols>
  <sheetData>
    <row r="1" spans="1:11" ht="26.25" x14ac:dyDescent="0.25">
      <c r="A1" s="27" t="s">
        <v>19</v>
      </c>
      <c r="B1" s="27"/>
      <c r="C1" s="27"/>
      <c r="D1" s="27"/>
      <c r="E1" s="27"/>
      <c r="F1" s="27"/>
      <c r="G1" s="27"/>
      <c r="H1" s="27"/>
      <c r="I1" s="27"/>
      <c r="J1" s="1"/>
    </row>
    <row r="2" spans="1:11" ht="26.25" x14ac:dyDescent="0.25">
      <c r="A2" s="3" t="s">
        <v>0</v>
      </c>
      <c r="B2" s="4" t="s">
        <v>20</v>
      </c>
      <c r="C2" s="4"/>
      <c r="D2" s="4"/>
      <c r="E2" s="4"/>
      <c r="F2" s="4"/>
      <c r="G2" s="1"/>
      <c r="H2" s="5"/>
      <c r="I2" s="5"/>
      <c r="J2" s="5"/>
    </row>
    <row r="3" spans="1:11" ht="15.75" x14ac:dyDescent="0.25">
      <c r="A3" s="6" t="s">
        <v>1</v>
      </c>
      <c r="B3" s="7">
        <v>45959</v>
      </c>
      <c r="C3" s="8"/>
      <c r="D3" s="8"/>
      <c r="E3" s="8"/>
      <c r="F3" s="8"/>
    </row>
    <row r="5" spans="1:11" ht="30" x14ac:dyDescent="0.25">
      <c r="A5" s="10" t="s">
        <v>2</v>
      </c>
      <c r="B5" s="10" t="s">
        <v>3</v>
      </c>
      <c r="C5" s="10" t="s">
        <v>4</v>
      </c>
      <c r="D5" s="10" t="s">
        <v>5</v>
      </c>
      <c r="E5" s="10" t="s">
        <v>6</v>
      </c>
      <c r="F5" s="11" t="s">
        <v>7</v>
      </c>
      <c r="G5" s="10" t="s">
        <v>8</v>
      </c>
      <c r="H5" s="12" t="s">
        <v>9</v>
      </c>
      <c r="I5" s="12" t="s">
        <v>10</v>
      </c>
      <c r="J5" s="12" t="s">
        <v>11</v>
      </c>
    </row>
    <row r="6" spans="1:11" ht="30" x14ac:dyDescent="0.25">
      <c r="A6">
        <v>1</v>
      </c>
      <c r="B6" t="s">
        <v>21</v>
      </c>
      <c r="C6" s="23" t="s">
        <v>58</v>
      </c>
      <c r="D6" t="s">
        <v>95</v>
      </c>
      <c r="E6" t="s">
        <v>116</v>
      </c>
      <c r="F6" t="s">
        <v>95</v>
      </c>
      <c r="G6" t="s">
        <v>116</v>
      </c>
      <c r="H6" s="13">
        <v>8.42</v>
      </c>
      <c r="I6" s="14">
        <f t="shared" ref="I6:I13" si="0">A6*H6</f>
        <v>8.42</v>
      </c>
      <c r="J6" s="25" t="s">
        <v>172</v>
      </c>
    </row>
    <row r="7" spans="1:11" ht="45" x14ac:dyDescent="0.25">
      <c r="A7">
        <v>1</v>
      </c>
      <c r="B7" t="s">
        <v>22</v>
      </c>
      <c r="C7" s="23" t="s">
        <v>59</v>
      </c>
      <c r="D7" t="s">
        <v>96</v>
      </c>
      <c r="E7" t="s">
        <v>117</v>
      </c>
      <c r="F7" t="s">
        <v>96</v>
      </c>
      <c r="G7" t="s">
        <v>117</v>
      </c>
      <c r="H7" s="13">
        <v>1.45</v>
      </c>
      <c r="I7" s="14">
        <f t="shared" si="0"/>
        <v>1.45</v>
      </c>
      <c r="J7" s="25" t="s">
        <v>173</v>
      </c>
    </row>
    <row r="8" spans="1:11" ht="60" x14ac:dyDescent="0.25">
      <c r="A8">
        <v>1</v>
      </c>
      <c r="B8" t="s">
        <v>23</v>
      </c>
      <c r="C8" s="23" t="s">
        <v>60</v>
      </c>
      <c r="D8" t="s">
        <v>97</v>
      </c>
      <c r="E8" t="s">
        <v>118</v>
      </c>
      <c r="F8" t="s">
        <v>97</v>
      </c>
      <c r="G8" t="s">
        <v>151</v>
      </c>
      <c r="H8" s="14">
        <v>0.1</v>
      </c>
      <c r="I8" s="14">
        <f t="shared" si="0"/>
        <v>0.1</v>
      </c>
      <c r="J8" s="25" t="s">
        <v>174</v>
      </c>
    </row>
    <row r="9" spans="1:11" ht="45" x14ac:dyDescent="0.25">
      <c r="A9">
        <v>1</v>
      </c>
      <c r="B9" t="s">
        <v>24</v>
      </c>
      <c r="C9" s="23" t="s">
        <v>61</v>
      </c>
      <c r="D9" t="s">
        <v>98</v>
      </c>
      <c r="E9" t="s">
        <v>119</v>
      </c>
      <c r="F9" t="s">
        <v>98</v>
      </c>
      <c r="G9" t="s">
        <v>119</v>
      </c>
      <c r="H9" s="13">
        <v>13.1</v>
      </c>
      <c r="I9" s="14">
        <f t="shared" si="0"/>
        <v>13.1</v>
      </c>
      <c r="J9" s="25" t="s">
        <v>206</v>
      </c>
    </row>
    <row r="10" spans="1:11" ht="60" x14ac:dyDescent="0.25">
      <c r="A10">
        <v>1</v>
      </c>
      <c r="B10" t="s">
        <v>25</v>
      </c>
      <c r="C10" s="23" t="s">
        <v>62</v>
      </c>
      <c r="D10" t="s">
        <v>99</v>
      </c>
      <c r="E10" t="s">
        <v>120</v>
      </c>
      <c r="F10" t="s">
        <v>99</v>
      </c>
      <c r="G10" t="s">
        <v>120</v>
      </c>
      <c r="H10" s="13">
        <v>3.83</v>
      </c>
      <c r="I10" s="14">
        <f t="shared" si="0"/>
        <v>3.83</v>
      </c>
      <c r="J10" s="25" t="s">
        <v>175</v>
      </c>
    </row>
    <row r="11" spans="1:11" ht="30" x14ac:dyDescent="0.25">
      <c r="A11">
        <v>2</v>
      </c>
      <c r="B11" t="s">
        <v>26</v>
      </c>
      <c r="C11" s="23" t="s">
        <v>63</v>
      </c>
      <c r="D11" t="s">
        <v>100</v>
      </c>
      <c r="E11" t="s">
        <v>121</v>
      </c>
      <c r="F11" t="s">
        <v>100</v>
      </c>
      <c r="G11" t="s">
        <v>152</v>
      </c>
      <c r="H11" s="13">
        <v>0.28000000000000003</v>
      </c>
      <c r="I11" s="14">
        <f t="shared" si="0"/>
        <v>0.56000000000000005</v>
      </c>
      <c r="J11" s="25" t="s">
        <v>176</v>
      </c>
    </row>
    <row r="12" spans="1:11" ht="45" x14ac:dyDescent="0.25">
      <c r="A12">
        <v>1</v>
      </c>
      <c r="B12" t="s">
        <v>27</v>
      </c>
      <c r="C12" s="23" t="s">
        <v>64</v>
      </c>
      <c r="D12" t="s">
        <v>101</v>
      </c>
      <c r="E12" t="s">
        <v>122</v>
      </c>
      <c r="F12" t="s">
        <v>101</v>
      </c>
      <c r="G12" t="s">
        <v>153</v>
      </c>
      <c r="H12" s="13">
        <v>0.11</v>
      </c>
      <c r="I12" s="14">
        <f t="shared" si="0"/>
        <v>0.11</v>
      </c>
      <c r="J12" s="25" t="s">
        <v>177</v>
      </c>
    </row>
    <row r="13" spans="1:11" ht="45" x14ac:dyDescent="0.25">
      <c r="A13">
        <v>1</v>
      </c>
      <c r="B13" t="s">
        <v>28</v>
      </c>
      <c r="C13" s="23" t="s">
        <v>92</v>
      </c>
      <c r="D13" t="s">
        <v>102</v>
      </c>
      <c r="E13" t="s">
        <v>123</v>
      </c>
      <c r="F13" t="s">
        <v>102</v>
      </c>
      <c r="G13" t="s">
        <v>154</v>
      </c>
      <c r="H13" s="13">
        <v>0.75</v>
      </c>
      <c r="I13" s="14">
        <f t="shared" si="0"/>
        <v>0.75</v>
      </c>
      <c r="J13" s="25" t="s">
        <v>178</v>
      </c>
    </row>
    <row r="14" spans="1:11" ht="75" x14ac:dyDescent="0.25">
      <c r="A14">
        <v>2</v>
      </c>
      <c r="B14" t="s">
        <v>29</v>
      </c>
      <c r="C14" s="23" t="s">
        <v>65</v>
      </c>
      <c r="D14" t="s">
        <v>103</v>
      </c>
      <c r="E14" t="s">
        <v>124</v>
      </c>
      <c r="F14" t="s">
        <v>103</v>
      </c>
      <c r="G14" t="s">
        <v>155</v>
      </c>
      <c r="H14" s="13">
        <v>0.18</v>
      </c>
      <c r="I14" s="14">
        <f t="shared" ref="I14:I42" si="1">A14*H14</f>
        <v>0.36</v>
      </c>
      <c r="J14" s="23" t="s">
        <v>179</v>
      </c>
    </row>
    <row r="15" spans="1:11" ht="45" x14ac:dyDescent="0.25">
      <c r="A15">
        <v>4</v>
      </c>
      <c r="B15" t="s">
        <v>30</v>
      </c>
      <c r="C15" s="23" t="s">
        <v>66</v>
      </c>
      <c r="D15" t="s">
        <v>104</v>
      </c>
      <c r="E15" t="s">
        <v>125</v>
      </c>
      <c r="F15" t="s">
        <v>104</v>
      </c>
      <c r="G15" t="s">
        <v>125</v>
      </c>
      <c r="H15" s="13">
        <v>8.99</v>
      </c>
      <c r="I15" s="26">
        <f>H15/96*A15</f>
        <v>0.37458333333333332</v>
      </c>
      <c r="J15" s="23" t="s">
        <v>180</v>
      </c>
      <c r="K15" s="2" t="s">
        <v>212</v>
      </c>
    </row>
    <row r="16" spans="1:11" ht="60" x14ac:dyDescent="0.25">
      <c r="A16">
        <v>1</v>
      </c>
      <c r="B16" t="s">
        <v>31</v>
      </c>
      <c r="C16" s="23" t="s">
        <v>67</v>
      </c>
      <c r="D16" t="s">
        <v>99</v>
      </c>
      <c r="E16" t="s">
        <v>126</v>
      </c>
      <c r="F16" t="s">
        <v>99</v>
      </c>
      <c r="G16" t="s">
        <v>126</v>
      </c>
      <c r="H16" s="13">
        <v>9.39</v>
      </c>
      <c r="I16" s="14">
        <f t="shared" si="1"/>
        <v>9.39</v>
      </c>
      <c r="J16" s="25" t="s">
        <v>181</v>
      </c>
      <c r="K16" s="2" t="s">
        <v>208</v>
      </c>
    </row>
    <row r="17" spans="1:11" ht="45" x14ac:dyDescent="0.25">
      <c r="A17">
        <v>1</v>
      </c>
      <c r="B17" t="s">
        <v>32</v>
      </c>
      <c r="C17" s="23" t="s">
        <v>68</v>
      </c>
      <c r="D17" t="s">
        <v>99</v>
      </c>
      <c r="E17" t="s">
        <v>127</v>
      </c>
      <c r="F17" t="s">
        <v>99</v>
      </c>
      <c r="G17" t="s">
        <v>127</v>
      </c>
      <c r="H17" s="13">
        <v>2.68</v>
      </c>
      <c r="I17" s="14">
        <f t="shared" si="1"/>
        <v>2.68</v>
      </c>
      <c r="J17" s="25" t="s">
        <v>182</v>
      </c>
    </row>
    <row r="18" spans="1:11" ht="75" x14ac:dyDescent="0.25">
      <c r="A18">
        <v>1</v>
      </c>
      <c r="B18" t="s">
        <v>33</v>
      </c>
      <c r="C18" s="23" t="s">
        <v>69</v>
      </c>
      <c r="D18" t="s">
        <v>105</v>
      </c>
      <c r="E18" t="s">
        <v>128</v>
      </c>
      <c r="F18" t="s">
        <v>105</v>
      </c>
      <c r="G18" t="s">
        <v>156</v>
      </c>
      <c r="H18" s="13">
        <v>1.2</v>
      </c>
      <c r="I18" s="14">
        <f t="shared" si="1"/>
        <v>1.2</v>
      </c>
      <c r="J18" s="25" t="s">
        <v>183</v>
      </c>
    </row>
    <row r="19" spans="1:11" ht="60" x14ac:dyDescent="0.25">
      <c r="A19">
        <v>2</v>
      </c>
      <c r="B19" t="s">
        <v>34</v>
      </c>
      <c r="C19" s="23" t="s">
        <v>70</v>
      </c>
      <c r="D19" t="s">
        <v>106</v>
      </c>
      <c r="E19" t="s">
        <v>129</v>
      </c>
      <c r="F19" t="s">
        <v>106</v>
      </c>
      <c r="G19" t="s">
        <v>129</v>
      </c>
      <c r="H19" s="13">
        <v>10.99</v>
      </c>
      <c r="I19" s="24">
        <f>H19/100*A19</f>
        <v>0.2198</v>
      </c>
      <c r="J19" s="25" t="s">
        <v>184</v>
      </c>
      <c r="K19" s="2" t="s">
        <v>209</v>
      </c>
    </row>
    <row r="20" spans="1:11" ht="30" x14ac:dyDescent="0.25">
      <c r="A20">
        <v>2</v>
      </c>
      <c r="B20" t="s">
        <v>35</v>
      </c>
      <c r="C20" s="23" t="s">
        <v>71</v>
      </c>
      <c r="D20" t="s">
        <v>107</v>
      </c>
      <c r="E20" t="s">
        <v>130</v>
      </c>
      <c r="F20" t="s">
        <v>107</v>
      </c>
      <c r="G20" t="s">
        <v>130</v>
      </c>
      <c r="H20" s="13">
        <v>2.13</v>
      </c>
      <c r="I20" s="26">
        <f>H20/50*A20</f>
        <v>8.5199999999999998E-2</v>
      </c>
      <c r="J20" s="25" t="s">
        <v>185</v>
      </c>
      <c r="K20" s="2" t="s">
        <v>210</v>
      </c>
    </row>
    <row r="21" spans="1:11" ht="30" x14ac:dyDescent="0.25">
      <c r="A21">
        <v>4</v>
      </c>
      <c r="B21" t="s">
        <v>36</v>
      </c>
      <c r="C21" s="23" t="s">
        <v>72</v>
      </c>
      <c r="D21" t="s">
        <v>107</v>
      </c>
      <c r="E21" t="s">
        <v>131</v>
      </c>
      <c r="F21" t="s">
        <v>107</v>
      </c>
      <c r="G21" t="s">
        <v>131</v>
      </c>
      <c r="H21" s="13">
        <v>3.07</v>
      </c>
      <c r="I21" s="26">
        <f t="shared" ref="I21:I25" si="2">H21/50*A21</f>
        <v>0.24559999999999998</v>
      </c>
      <c r="J21" s="25" t="s">
        <v>186</v>
      </c>
      <c r="K21" s="2" t="s">
        <v>210</v>
      </c>
    </row>
    <row r="22" spans="1:11" ht="30" x14ac:dyDescent="0.25">
      <c r="A22">
        <v>2</v>
      </c>
      <c r="B22" t="s">
        <v>37</v>
      </c>
      <c r="C22" s="23" t="s">
        <v>73</v>
      </c>
      <c r="D22" t="s">
        <v>107</v>
      </c>
      <c r="E22" t="s">
        <v>132</v>
      </c>
      <c r="F22" t="s">
        <v>107</v>
      </c>
      <c r="G22" t="s">
        <v>132</v>
      </c>
      <c r="H22" s="13">
        <v>3.48</v>
      </c>
      <c r="I22" s="26">
        <f t="shared" si="2"/>
        <v>0.13919999999999999</v>
      </c>
      <c r="J22" s="25" t="s">
        <v>187</v>
      </c>
      <c r="K22" s="2" t="s">
        <v>210</v>
      </c>
    </row>
    <row r="23" spans="1:11" ht="30" x14ac:dyDescent="0.25">
      <c r="A23">
        <v>4</v>
      </c>
      <c r="B23" t="s">
        <v>38</v>
      </c>
      <c r="C23" s="23" t="s">
        <v>74</v>
      </c>
      <c r="D23" t="s">
        <v>107</v>
      </c>
      <c r="E23" t="s">
        <v>133</v>
      </c>
      <c r="F23" t="s">
        <v>107</v>
      </c>
      <c r="G23" t="s">
        <v>133</v>
      </c>
      <c r="H23" s="13">
        <v>2.13</v>
      </c>
      <c r="I23" s="26">
        <f t="shared" si="2"/>
        <v>0.1704</v>
      </c>
      <c r="J23" s="25" t="s">
        <v>185</v>
      </c>
      <c r="K23" s="2" t="s">
        <v>210</v>
      </c>
    </row>
    <row r="24" spans="1:11" ht="45" x14ac:dyDescent="0.25">
      <c r="A24">
        <v>4</v>
      </c>
      <c r="B24" t="s">
        <v>39</v>
      </c>
      <c r="C24" s="23" t="s">
        <v>75</v>
      </c>
      <c r="D24" t="s">
        <v>108</v>
      </c>
      <c r="E24" t="s">
        <v>134</v>
      </c>
      <c r="F24" t="s">
        <v>108</v>
      </c>
      <c r="G24" t="s">
        <v>134</v>
      </c>
      <c r="H24" s="13">
        <v>11.49</v>
      </c>
      <c r="I24" s="26">
        <f t="shared" si="2"/>
        <v>0.91920000000000002</v>
      </c>
      <c r="J24" s="25" t="s">
        <v>188</v>
      </c>
      <c r="K24" s="2" t="s">
        <v>210</v>
      </c>
    </row>
    <row r="25" spans="1:11" ht="30" x14ac:dyDescent="0.25">
      <c r="A25">
        <v>2</v>
      </c>
      <c r="B25" t="s">
        <v>40</v>
      </c>
      <c r="C25" s="23" t="s">
        <v>93</v>
      </c>
      <c r="D25" t="s">
        <v>109</v>
      </c>
      <c r="E25" t="s">
        <v>135</v>
      </c>
      <c r="F25" t="s">
        <v>109</v>
      </c>
      <c r="G25" t="s">
        <v>135</v>
      </c>
      <c r="H25" s="13">
        <v>14.07</v>
      </c>
      <c r="I25" s="26">
        <f>H25/10*A25</f>
        <v>2.8140000000000001</v>
      </c>
      <c r="J25" s="25" t="s">
        <v>189</v>
      </c>
      <c r="K25" s="2" t="s">
        <v>211</v>
      </c>
    </row>
    <row r="26" spans="1:11" x14ac:dyDescent="0.25">
      <c r="A26">
        <v>1</v>
      </c>
      <c r="B26" t="s">
        <v>41</v>
      </c>
      <c r="C26" s="23" t="s">
        <v>76</v>
      </c>
      <c r="D26" t="s">
        <v>110</v>
      </c>
      <c r="E26" t="s">
        <v>136</v>
      </c>
      <c r="F26" t="s">
        <v>110</v>
      </c>
      <c r="G26" t="s">
        <v>136</v>
      </c>
      <c r="H26" s="13">
        <v>3.68</v>
      </c>
      <c r="I26" s="14">
        <f t="shared" si="1"/>
        <v>3.68</v>
      </c>
      <c r="J26" s="25" t="s">
        <v>207</v>
      </c>
    </row>
    <row r="27" spans="1:11" ht="75" x14ac:dyDescent="0.25">
      <c r="A27">
        <v>1</v>
      </c>
      <c r="B27" t="s">
        <v>42</v>
      </c>
      <c r="C27" s="23" t="s">
        <v>77</v>
      </c>
      <c r="D27" t="s">
        <v>111</v>
      </c>
      <c r="E27" t="s">
        <v>137</v>
      </c>
      <c r="F27" t="s">
        <v>111</v>
      </c>
      <c r="G27" t="s">
        <v>157</v>
      </c>
      <c r="H27" s="13">
        <v>0.1</v>
      </c>
      <c r="I27" s="14">
        <f t="shared" si="1"/>
        <v>0.1</v>
      </c>
      <c r="J27" s="25" t="s">
        <v>190</v>
      </c>
    </row>
    <row r="28" spans="1:11" ht="45" x14ac:dyDescent="0.25">
      <c r="A28">
        <v>1</v>
      </c>
      <c r="B28" t="s">
        <v>43</v>
      </c>
      <c r="C28" s="23" t="s">
        <v>78</v>
      </c>
      <c r="D28" t="s">
        <v>111</v>
      </c>
      <c r="E28" t="s">
        <v>18</v>
      </c>
      <c r="F28" t="s">
        <v>111</v>
      </c>
      <c r="G28" t="s">
        <v>158</v>
      </c>
      <c r="H28" s="13">
        <v>0.1</v>
      </c>
      <c r="I28" s="14">
        <f t="shared" si="1"/>
        <v>0.1</v>
      </c>
      <c r="J28" s="25" t="s">
        <v>191</v>
      </c>
    </row>
    <row r="29" spans="1:11" ht="75" x14ac:dyDescent="0.25">
      <c r="A29">
        <v>2</v>
      </c>
      <c r="B29" t="s">
        <v>44</v>
      </c>
      <c r="C29" s="23" t="s">
        <v>79</v>
      </c>
      <c r="D29" t="s">
        <v>111</v>
      </c>
      <c r="E29" t="s">
        <v>13</v>
      </c>
      <c r="F29" t="s">
        <v>111</v>
      </c>
      <c r="G29" t="s">
        <v>12</v>
      </c>
      <c r="H29" s="13">
        <v>0.1</v>
      </c>
      <c r="I29" s="14">
        <f t="shared" si="1"/>
        <v>0.2</v>
      </c>
      <c r="J29" s="25" t="s">
        <v>192</v>
      </c>
    </row>
    <row r="30" spans="1:11" ht="45" x14ac:dyDescent="0.25">
      <c r="A30">
        <v>2</v>
      </c>
      <c r="B30" t="s">
        <v>45</v>
      </c>
      <c r="C30" s="23" t="s">
        <v>80</v>
      </c>
      <c r="D30" t="s">
        <v>111</v>
      </c>
      <c r="E30" t="s">
        <v>138</v>
      </c>
      <c r="F30" t="s">
        <v>111</v>
      </c>
      <c r="G30" t="s">
        <v>159</v>
      </c>
      <c r="H30" s="13">
        <v>0.1</v>
      </c>
      <c r="I30" s="14">
        <f t="shared" si="1"/>
        <v>0.2</v>
      </c>
      <c r="J30" s="25" t="s">
        <v>193</v>
      </c>
    </row>
    <row r="31" spans="1:11" ht="45" x14ac:dyDescent="0.25">
      <c r="A31">
        <v>1</v>
      </c>
      <c r="B31" t="s">
        <v>46</v>
      </c>
      <c r="C31" s="23" t="s">
        <v>81</v>
      </c>
      <c r="D31" t="s">
        <v>111</v>
      </c>
      <c r="E31" t="s">
        <v>139</v>
      </c>
      <c r="F31" t="s">
        <v>111</v>
      </c>
      <c r="G31" t="s">
        <v>160</v>
      </c>
      <c r="H31" s="13">
        <v>0.1</v>
      </c>
      <c r="I31" s="14">
        <f t="shared" si="1"/>
        <v>0.1</v>
      </c>
      <c r="J31" s="25" t="s">
        <v>194</v>
      </c>
    </row>
    <row r="32" spans="1:11" ht="30" x14ac:dyDescent="0.25">
      <c r="A32">
        <v>1</v>
      </c>
      <c r="B32" t="s">
        <v>47</v>
      </c>
      <c r="C32" s="23" t="s">
        <v>94</v>
      </c>
      <c r="D32" t="s">
        <v>112</v>
      </c>
      <c r="E32" t="s">
        <v>140</v>
      </c>
      <c r="F32" t="s">
        <v>112</v>
      </c>
      <c r="G32" t="s">
        <v>161</v>
      </c>
      <c r="H32" s="13">
        <v>15</v>
      </c>
      <c r="I32" s="14">
        <f t="shared" si="1"/>
        <v>15</v>
      </c>
      <c r="J32" s="25" t="s">
        <v>195</v>
      </c>
    </row>
    <row r="33" spans="1:14" ht="30" x14ac:dyDescent="0.25">
      <c r="A33">
        <v>1</v>
      </c>
      <c r="B33" t="s">
        <v>48</v>
      </c>
      <c r="C33" s="23" t="s">
        <v>82</v>
      </c>
      <c r="D33" t="s">
        <v>113</v>
      </c>
      <c r="E33" t="s">
        <v>141</v>
      </c>
      <c r="F33" t="s">
        <v>113</v>
      </c>
      <c r="G33" t="s">
        <v>162</v>
      </c>
      <c r="H33" s="13">
        <v>0.16</v>
      </c>
      <c r="I33" s="14">
        <f t="shared" si="1"/>
        <v>0.16</v>
      </c>
      <c r="J33" s="25" t="s">
        <v>196</v>
      </c>
    </row>
    <row r="34" spans="1:14" ht="45" x14ac:dyDescent="0.25">
      <c r="A34">
        <v>1</v>
      </c>
      <c r="B34" t="s">
        <v>49</v>
      </c>
      <c r="C34" s="23" t="s">
        <v>83</v>
      </c>
      <c r="D34" t="s">
        <v>114</v>
      </c>
      <c r="E34" t="s">
        <v>142</v>
      </c>
      <c r="F34" t="s">
        <v>114</v>
      </c>
      <c r="G34" t="s">
        <v>163</v>
      </c>
      <c r="H34" s="13">
        <v>6.74</v>
      </c>
      <c r="I34" s="14">
        <f t="shared" si="1"/>
        <v>6.74</v>
      </c>
      <c r="J34" s="25" t="s">
        <v>197</v>
      </c>
    </row>
    <row r="35" spans="1:14" ht="45" x14ac:dyDescent="0.25">
      <c r="A35">
        <v>5</v>
      </c>
      <c r="B35" t="s">
        <v>50</v>
      </c>
      <c r="C35" s="23" t="s">
        <v>84</v>
      </c>
      <c r="D35" t="s">
        <v>114</v>
      </c>
      <c r="E35" t="s">
        <v>143</v>
      </c>
      <c r="F35" t="s">
        <v>114</v>
      </c>
      <c r="G35" t="s">
        <v>164</v>
      </c>
      <c r="H35" s="13">
        <v>0.36</v>
      </c>
      <c r="I35" s="14">
        <f t="shared" si="1"/>
        <v>1.7999999999999998</v>
      </c>
      <c r="J35" s="25" t="s">
        <v>198</v>
      </c>
    </row>
    <row r="36" spans="1:14" ht="45" x14ac:dyDescent="0.25">
      <c r="A36">
        <v>1</v>
      </c>
      <c r="B36" t="s">
        <v>51</v>
      </c>
      <c r="C36" s="23" t="s">
        <v>85</v>
      </c>
      <c r="D36" t="s">
        <v>114</v>
      </c>
      <c r="E36" t="s">
        <v>144</v>
      </c>
      <c r="F36" t="s">
        <v>114</v>
      </c>
      <c r="G36" t="s">
        <v>165</v>
      </c>
      <c r="H36" s="14">
        <v>0.64</v>
      </c>
      <c r="I36" s="14">
        <f t="shared" si="1"/>
        <v>0.64</v>
      </c>
      <c r="J36" s="25" t="s">
        <v>199</v>
      </c>
    </row>
    <row r="37" spans="1:14" ht="45" x14ac:dyDescent="0.25">
      <c r="A37">
        <v>2</v>
      </c>
      <c r="B37" t="s">
        <v>52</v>
      </c>
      <c r="C37" s="23" t="s">
        <v>86</v>
      </c>
      <c r="D37" t="s">
        <v>114</v>
      </c>
      <c r="E37" t="s">
        <v>145</v>
      </c>
      <c r="F37" t="s">
        <v>114</v>
      </c>
      <c r="G37" t="s">
        <v>166</v>
      </c>
      <c r="H37" s="13">
        <v>0.72</v>
      </c>
      <c r="I37" s="14">
        <f t="shared" si="1"/>
        <v>1.44</v>
      </c>
      <c r="J37" s="25" t="s">
        <v>200</v>
      </c>
    </row>
    <row r="38" spans="1:14" ht="45" x14ac:dyDescent="0.25">
      <c r="A38">
        <v>1</v>
      </c>
      <c r="B38" t="s">
        <v>53</v>
      </c>
      <c r="C38" s="23" t="s">
        <v>87</v>
      </c>
      <c r="D38" t="s">
        <v>114</v>
      </c>
      <c r="E38" t="s">
        <v>146</v>
      </c>
      <c r="F38" t="s">
        <v>114</v>
      </c>
      <c r="G38" t="s">
        <v>167</v>
      </c>
      <c r="H38" s="13">
        <v>0.93</v>
      </c>
      <c r="I38" s="14">
        <f t="shared" si="1"/>
        <v>0.93</v>
      </c>
      <c r="J38" s="25" t="s">
        <v>201</v>
      </c>
    </row>
    <row r="39" spans="1:14" ht="45" x14ac:dyDescent="0.25">
      <c r="A39">
        <v>2</v>
      </c>
      <c r="B39" t="s">
        <v>54</v>
      </c>
      <c r="C39" s="23" t="s">
        <v>88</v>
      </c>
      <c r="D39" t="s">
        <v>114</v>
      </c>
      <c r="E39" t="s">
        <v>147</v>
      </c>
      <c r="F39" t="s">
        <v>114</v>
      </c>
      <c r="G39" t="s">
        <v>168</v>
      </c>
      <c r="H39" s="13">
        <v>0.81</v>
      </c>
      <c r="I39" s="14">
        <f t="shared" si="1"/>
        <v>1.62</v>
      </c>
      <c r="J39" s="25" t="s">
        <v>202</v>
      </c>
    </row>
    <row r="40" spans="1:14" ht="45" x14ac:dyDescent="0.25">
      <c r="A40">
        <v>1</v>
      </c>
      <c r="B40" t="s">
        <v>55</v>
      </c>
      <c r="C40" s="23" t="s">
        <v>89</v>
      </c>
      <c r="D40" t="s">
        <v>114</v>
      </c>
      <c r="E40" t="s">
        <v>148</v>
      </c>
      <c r="F40" t="s">
        <v>114</v>
      </c>
      <c r="G40" t="s">
        <v>169</v>
      </c>
      <c r="H40" s="13">
        <v>0.98</v>
      </c>
      <c r="I40" s="14">
        <f t="shared" si="1"/>
        <v>0.98</v>
      </c>
      <c r="J40" s="25" t="s">
        <v>203</v>
      </c>
    </row>
    <row r="41" spans="1:14" ht="45" x14ac:dyDescent="0.25">
      <c r="A41">
        <v>1</v>
      </c>
      <c r="B41" t="s">
        <v>56</v>
      </c>
      <c r="C41" s="23" t="s">
        <v>90</v>
      </c>
      <c r="D41" t="s">
        <v>114</v>
      </c>
      <c r="E41" t="s">
        <v>149</v>
      </c>
      <c r="F41" t="s">
        <v>114</v>
      </c>
      <c r="G41" t="s">
        <v>170</v>
      </c>
      <c r="H41" s="13">
        <v>3.52</v>
      </c>
      <c r="I41" s="14">
        <f t="shared" si="1"/>
        <v>3.52</v>
      </c>
      <c r="J41" s="25" t="s">
        <v>204</v>
      </c>
    </row>
    <row r="42" spans="1:14" ht="45" x14ac:dyDescent="0.25">
      <c r="A42">
        <v>1</v>
      </c>
      <c r="B42" t="s">
        <v>57</v>
      </c>
      <c r="C42" s="23" t="s">
        <v>91</v>
      </c>
      <c r="D42" t="s">
        <v>115</v>
      </c>
      <c r="E42" t="s">
        <v>150</v>
      </c>
      <c r="F42" t="s">
        <v>115</v>
      </c>
      <c r="G42" t="s">
        <v>171</v>
      </c>
      <c r="H42" s="13">
        <v>1.24</v>
      </c>
      <c r="I42" s="14">
        <f t="shared" si="1"/>
        <v>1.24</v>
      </c>
      <c r="J42" s="25" t="s">
        <v>205</v>
      </c>
    </row>
    <row r="43" spans="1:14" x14ac:dyDescent="0.25">
      <c r="A43" s="15"/>
      <c r="B43" s="16"/>
      <c r="C43" s="16"/>
      <c r="D43" s="16"/>
      <c r="E43" s="16"/>
      <c r="F43" s="16"/>
      <c r="G43" s="17"/>
      <c r="H43" s="13" t="s">
        <v>14</v>
      </c>
      <c r="I43" s="14">
        <f>SUM(I6:I42)</f>
        <v>85.367983333333342</v>
      </c>
      <c r="J43" s="18"/>
    </row>
    <row r="44" spans="1:14" x14ac:dyDescent="0.25">
      <c r="A44" s="15"/>
      <c r="B44" s="16"/>
      <c r="C44" s="16"/>
      <c r="D44" s="16"/>
      <c r="E44" s="16"/>
      <c r="F44" s="16"/>
      <c r="G44" s="17"/>
      <c r="H44" s="13" t="s">
        <v>15</v>
      </c>
      <c r="I44" s="14">
        <f>I43*0.05</f>
        <v>4.2683991666666676</v>
      </c>
      <c r="J44" s="18"/>
    </row>
    <row r="45" spans="1:14" x14ac:dyDescent="0.25">
      <c r="A45" s="15"/>
      <c r="B45" s="16"/>
      <c r="C45" s="16"/>
      <c r="D45" s="16"/>
      <c r="E45" s="16"/>
      <c r="F45" s="16"/>
      <c r="G45" s="17"/>
      <c r="H45" s="13" t="s">
        <v>16</v>
      </c>
      <c r="I45" s="14">
        <f>I43*0.09975</f>
        <v>8.5154563375000016</v>
      </c>
      <c r="J45" s="18"/>
    </row>
    <row r="46" spans="1:14" s="6" customFormat="1" x14ac:dyDescent="0.25">
      <c r="H46" s="19" t="s">
        <v>17</v>
      </c>
      <c r="I46" s="19">
        <f>SUM(I43:I45)</f>
        <v>98.151838837500009</v>
      </c>
      <c r="J46" s="20"/>
    </row>
    <row r="47" spans="1:14" x14ac:dyDescent="0.25">
      <c r="A47"/>
      <c r="B47" s="21"/>
      <c r="C47" s="21"/>
      <c r="D47" s="21"/>
      <c r="E47" s="21"/>
      <c r="F47" s="21"/>
      <c r="G47" s="21"/>
      <c r="H47" s="22"/>
      <c r="I47" s="22"/>
      <c r="J47" s="22"/>
      <c r="K47" s="21"/>
      <c r="L47" s="21"/>
      <c r="M47" s="21"/>
      <c r="N47"/>
    </row>
    <row r="48" spans="1:14" x14ac:dyDescent="0.25">
      <c r="A48"/>
      <c r="B48" s="21"/>
      <c r="C48" s="21"/>
      <c r="D48" s="21"/>
      <c r="E48" s="21"/>
      <c r="F48" s="21"/>
      <c r="G48" s="21"/>
      <c r="H48" s="22"/>
      <c r="I48" s="22"/>
      <c r="J48" s="22"/>
      <c r="K48" s="21"/>
      <c r="L48" s="21"/>
      <c r="M48" s="21"/>
      <c r="N48"/>
    </row>
    <row r="49" spans="1:14" x14ac:dyDescent="0.25">
      <c r="A49"/>
      <c r="B49" s="21"/>
      <c r="C49" s="21"/>
      <c r="D49" s="21"/>
      <c r="E49" s="21"/>
      <c r="F49" s="21"/>
      <c r="G49" s="21"/>
      <c r="H49" s="22"/>
      <c r="I49" s="22"/>
      <c r="J49" s="22"/>
      <c r="K49" s="21"/>
      <c r="L49" s="21"/>
      <c r="M49" s="21"/>
      <c r="N49"/>
    </row>
    <row r="50" spans="1:14" x14ac:dyDescent="0.25">
      <c r="A50"/>
      <c r="B50" s="21"/>
      <c r="C50" s="21"/>
      <c r="D50" s="21"/>
      <c r="E50" s="21"/>
      <c r="F50" s="21"/>
      <c r="G50" s="21"/>
      <c r="H50" s="22"/>
      <c r="I50" s="22"/>
      <c r="J50" s="22"/>
      <c r="K50" s="21"/>
      <c r="L50" s="21"/>
      <c r="M50" s="21"/>
      <c r="N50"/>
    </row>
    <row r="51" spans="1:14" x14ac:dyDescent="0.25">
      <c r="A51"/>
      <c r="B51" s="21"/>
      <c r="C51" s="21"/>
      <c r="D51" s="21"/>
      <c r="E51" s="21"/>
      <c r="F51" s="21"/>
      <c r="G51" s="21" t="s">
        <v>18</v>
      </c>
      <c r="H51" s="22" t="s">
        <v>18</v>
      </c>
      <c r="I51" s="22" t="s">
        <v>18</v>
      </c>
      <c r="J51" s="22"/>
      <c r="K51" s="21" t="s">
        <v>18</v>
      </c>
      <c r="L51" s="21" t="s">
        <v>18</v>
      </c>
      <c r="M51" s="21" t="s">
        <v>18</v>
      </c>
      <c r="N51"/>
    </row>
    <row r="52" spans="1:14" x14ac:dyDescent="0.25">
      <c r="A52"/>
      <c r="B52" s="21"/>
      <c r="C52" s="21"/>
      <c r="D52" s="21"/>
      <c r="E52" s="21"/>
      <c r="F52" s="21"/>
      <c r="G52" s="21"/>
      <c r="H52" s="22"/>
      <c r="I52" s="22"/>
      <c r="J52" s="22"/>
      <c r="K52" s="21"/>
      <c r="L52" s="21"/>
      <c r="M52" s="21"/>
      <c r="N52"/>
    </row>
    <row r="53" spans="1:14" x14ac:dyDescent="0.25">
      <c r="A53"/>
      <c r="B53" s="21"/>
      <c r="C53" s="21"/>
      <c r="D53" s="21"/>
      <c r="E53" s="21"/>
      <c r="F53" s="21"/>
      <c r="G53" s="21" t="s">
        <v>18</v>
      </c>
      <c r="H53" s="22" t="s">
        <v>18</v>
      </c>
      <c r="I53" s="22" t="s">
        <v>18</v>
      </c>
      <c r="J53" s="22"/>
      <c r="K53" s="21" t="s">
        <v>18</v>
      </c>
      <c r="L53" s="21" t="s">
        <v>18</v>
      </c>
      <c r="M53" s="21" t="s">
        <v>18</v>
      </c>
      <c r="N53"/>
    </row>
    <row r="54" spans="1:14" x14ac:dyDescent="0.25">
      <c r="A54"/>
      <c r="B54" s="21"/>
      <c r="C54" s="21"/>
      <c r="D54" s="21"/>
      <c r="E54" s="21"/>
      <c r="F54" s="21"/>
      <c r="G54" s="21"/>
      <c r="H54" s="22"/>
      <c r="I54" s="22"/>
      <c r="J54" s="22"/>
      <c r="K54" s="21"/>
      <c r="L54" s="21"/>
      <c r="M54" s="21"/>
      <c r="N54"/>
    </row>
    <row r="55" spans="1:14" x14ac:dyDescent="0.25">
      <c r="A55"/>
      <c r="B55" s="21"/>
      <c r="C55" s="21"/>
      <c r="D55" s="21"/>
      <c r="E55" s="21"/>
      <c r="F55" s="21"/>
      <c r="G55" s="21"/>
      <c r="H55" s="22"/>
      <c r="I55" s="22"/>
      <c r="J55" s="22"/>
      <c r="K55" s="21"/>
      <c r="L55" s="21"/>
      <c r="M55" s="21"/>
      <c r="N55"/>
    </row>
    <row r="56" spans="1:14" x14ac:dyDescent="0.25">
      <c r="A56"/>
      <c r="B56" s="21"/>
      <c r="C56" s="21"/>
      <c r="D56" s="21"/>
      <c r="E56" s="21"/>
      <c r="F56" s="21"/>
      <c r="G56" s="21"/>
      <c r="H56" s="22"/>
      <c r="I56" s="22"/>
      <c r="J56" s="22"/>
      <c r="K56" s="21"/>
      <c r="L56" s="21"/>
      <c r="M56" s="21"/>
      <c r="N56"/>
    </row>
  </sheetData>
  <mergeCells count="1">
    <mergeCell ref="A1:I1"/>
  </mergeCells>
  <hyperlinks>
    <hyperlink ref="J17" r:id="rId1" xr:uid="{2BD74848-6B00-4A9C-8ACC-39502AC94597}"/>
    <hyperlink ref="J19" r:id="rId2" xr:uid="{56E6EDCF-57F1-4A70-8289-0E09C1E57449}"/>
    <hyperlink ref="J20" r:id="rId3" xr:uid="{8E26BFEA-854F-4F0A-A63E-A5FF29895229}"/>
    <hyperlink ref="J21" r:id="rId4" xr:uid="{4A817BAA-39A4-4369-85F5-46A8FE714ECD}"/>
    <hyperlink ref="J22" r:id="rId5" xr:uid="{CF5873A2-F86E-48C6-9F7C-460DCA34D904}"/>
    <hyperlink ref="J23" r:id="rId6" xr:uid="{990B5248-AC04-4A6D-A236-1C59004DDAE7}"/>
    <hyperlink ref="J24" r:id="rId7" xr:uid="{679C317B-6A38-4972-823B-98BF6ECBE3EE}"/>
    <hyperlink ref="J25" r:id="rId8" xr:uid="{CA313222-A6AC-4FEF-8B9F-AA70D3215997}"/>
    <hyperlink ref="J26" r:id="rId9" xr:uid="{62F19D38-C8FA-4BEB-9FC1-694D5611DF21}"/>
    <hyperlink ref="J6" r:id="rId10" xr:uid="{0F14B7A6-B0E2-4B57-804C-67B59B5735FA}"/>
    <hyperlink ref="J7" r:id="rId11" xr:uid="{02A79AF2-C247-418F-A226-F70E3C67BE66}"/>
    <hyperlink ref="J8" r:id="rId12" xr:uid="{5F179A9A-2A39-4B53-AC1C-9AD97D8E696B}"/>
    <hyperlink ref="J9" r:id="rId13" xr:uid="{AB10C10E-67E5-43B3-BEF9-20E4188ACABC}"/>
    <hyperlink ref="J10" r:id="rId14" xr:uid="{74B2E73D-718D-4A0F-8341-CB2CB94A1660}"/>
    <hyperlink ref="J11" r:id="rId15" xr:uid="{8AF4C49B-EAF3-46AF-A9A1-7E5F109E5D59}"/>
    <hyperlink ref="J12" r:id="rId16" xr:uid="{23E3DFD7-864D-4175-9EF0-02435A60D0A9}"/>
    <hyperlink ref="J13" r:id="rId17" xr:uid="{93CA620A-D732-413D-8793-19B931279555}"/>
    <hyperlink ref="J18" r:id="rId18" xr:uid="{EDD4D627-1C02-434E-BEBC-363D5C5FE82E}"/>
    <hyperlink ref="J27" r:id="rId19" xr:uid="{06416198-6052-438D-A41B-105A35EB4C46}"/>
    <hyperlink ref="J28" r:id="rId20" xr:uid="{A2396340-5A0C-4A75-BA04-B1A3982B0684}"/>
    <hyperlink ref="J29" r:id="rId21" xr:uid="{26F9C855-3CDF-4191-958F-0037178E3541}"/>
    <hyperlink ref="J30" r:id="rId22" xr:uid="{5499B32F-F3EB-4119-BB79-0F293676E575}"/>
    <hyperlink ref="J31" r:id="rId23" xr:uid="{A0E168DC-F958-4429-BC34-5AD50702C5AD}"/>
    <hyperlink ref="J32" r:id="rId24" xr:uid="{B2EB5B0A-FB5A-4BD5-BD53-97D42BCD4911}"/>
    <hyperlink ref="J33" r:id="rId25" xr:uid="{22FED35E-1662-486F-8117-7713D086BA63}"/>
    <hyperlink ref="J34" r:id="rId26" xr:uid="{D8D9D94B-388B-4070-B05C-B92992517C56}"/>
    <hyperlink ref="J35" r:id="rId27" xr:uid="{FE5B14F8-1316-4E25-9C66-D2B1E2B95754}"/>
    <hyperlink ref="J36" r:id="rId28" xr:uid="{27904F95-3B19-4833-978A-8301BC5F260A}"/>
    <hyperlink ref="J37" r:id="rId29" xr:uid="{3290301B-7C81-4521-BCF4-0DEDF9D670CF}"/>
    <hyperlink ref="J38" r:id="rId30" xr:uid="{70356440-853C-441C-9888-1CA57A812BE9}"/>
    <hyperlink ref="J39" r:id="rId31" xr:uid="{1F8CA479-8517-48AD-8E89-3229CF6336C7}"/>
    <hyperlink ref="J40" r:id="rId32" xr:uid="{2A7E7B48-3648-41E5-8804-C3AF473E6869}"/>
    <hyperlink ref="J41" r:id="rId33" xr:uid="{34096ED3-ECF4-4651-8862-204B0393D0FF}"/>
    <hyperlink ref="J42" r:id="rId34" xr:uid="{6F3DE723-517A-4C9F-9930-70732FCDE5E3}"/>
    <hyperlink ref="J16" r:id="rId35" xr:uid="{08DBFEE1-4770-4D31-979A-EB4FFD3FFA67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0eecc4d-675b-4b90-81a0-a5cd46c51b04}" enabled="0" method="" siteId="{c0eecc4d-675b-4b90-81a0-a5cd46c51b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Pelletier Eddie</dc:creator>
  <cp:lastModifiedBy>Pelletier Eddie</cp:lastModifiedBy>
  <dcterms:created xsi:type="dcterms:W3CDTF">2025-10-28T00:35:53Z</dcterms:created>
  <dcterms:modified xsi:type="dcterms:W3CDTF">2025-10-30T13:53:54Z</dcterms:modified>
</cp:coreProperties>
</file>